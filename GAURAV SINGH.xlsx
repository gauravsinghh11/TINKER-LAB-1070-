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Gaurav Singh\Downloads\"/>
    </mc:Choice>
  </mc:AlternateContent>
  <xr:revisionPtr revIDLastSave="0" documentId="8_{280532AA-A55C-4132-B46B-C0673D36560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" i="1"/>
  <c r="J3" i="1"/>
  <c r="J4" i="1"/>
  <c r="J5" i="1"/>
  <c r="J6" i="1"/>
  <c r="J7" i="1"/>
  <c r="J8" i="1"/>
  <c r="J9" i="1"/>
  <c r="J10" i="1"/>
  <c r="J11" i="1"/>
  <c r="J12" i="1"/>
  <c r="J13" i="1"/>
  <c r="K13" i="1" s="1"/>
  <c r="J14" i="1"/>
  <c r="J15" i="1"/>
  <c r="J16" i="1"/>
  <c r="J17" i="1"/>
  <c r="J18" i="1"/>
  <c r="J19" i="1"/>
  <c r="J20" i="1"/>
  <c r="J21" i="1"/>
  <c r="J22" i="1"/>
  <c r="J2" i="1"/>
  <c r="K3" i="1"/>
  <c r="K16" i="1"/>
  <c r="K19" i="1"/>
  <c r="K20" i="1"/>
  <c r="K21" i="1"/>
  <c r="K7" i="1"/>
  <c r="K8" i="1"/>
  <c r="K9" i="1"/>
  <c r="L3" i="1"/>
  <c r="L17" i="1"/>
  <c r="K14" i="1" l="1"/>
  <c r="K12" i="1"/>
  <c r="K11" i="1"/>
  <c r="L7" i="1"/>
  <c r="K10" i="1"/>
  <c r="K2" i="1"/>
  <c r="L2" i="1"/>
  <c r="L18" i="1"/>
  <c r="L6" i="1"/>
  <c r="L5" i="1"/>
  <c r="L14" i="1"/>
  <c r="L16" i="1"/>
  <c r="L12" i="1"/>
  <c r="L15" i="1"/>
  <c r="L11" i="1"/>
  <c r="L4" i="1"/>
  <c r="L10" i="1"/>
  <c r="L9" i="1"/>
  <c r="K18" i="1"/>
  <c r="K6" i="1"/>
  <c r="L21" i="1"/>
  <c r="K17" i="1"/>
  <c r="K5" i="1"/>
  <c r="L13" i="1"/>
  <c r="K4" i="1"/>
  <c r="K15" i="1"/>
  <c r="L20" i="1"/>
  <c r="L8" i="1"/>
  <c r="L19" i="1"/>
</calcChain>
</file>

<file path=xl/sharedStrings.xml><?xml version="1.0" encoding="utf-8"?>
<sst xmlns="http://schemas.openxmlformats.org/spreadsheetml/2006/main" count="54" uniqueCount="35">
  <si>
    <t>sr no</t>
  </si>
  <si>
    <t>M</t>
  </si>
  <si>
    <t>F</t>
  </si>
  <si>
    <t>GENDER</t>
  </si>
  <si>
    <t>NAME</t>
  </si>
  <si>
    <t>ADITYA NAIR</t>
  </si>
  <si>
    <t>ARJUN IYER</t>
  </si>
  <si>
    <t>ROHAN PATTEL</t>
  </si>
  <si>
    <t>AARAV SHARMA</t>
  </si>
  <si>
    <t>AARADHYA SHARMA</t>
  </si>
  <si>
    <t>DIYA PATEL</t>
  </si>
  <si>
    <t>ANANYA IYER</t>
  </si>
  <si>
    <t>MEERA NAIR</t>
  </si>
  <si>
    <t>VIVAN JOSHI</t>
  </si>
  <si>
    <t>ISHAAN REDDY</t>
  </si>
  <si>
    <t>RAHUL DAS</t>
  </si>
  <si>
    <t>REYANSHH KULKARNI</t>
  </si>
  <si>
    <t>ISHITA JOSHI</t>
  </si>
  <si>
    <t>KAVYA REDDY</t>
  </si>
  <si>
    <t>PRIYANKA DAS</t>
  </si>
  <si>
    <t>TANVI KULKARNI</t>
  </si>
  <si>
    <t>RIYA MALHOTRA</t>
  </si>
  <si>
    <t>KABIR TRIPATHI</t>
  </si>
  <si>
    <t>TANVI MESHRAM</t>
  </si>
  <si>
    <t>KARAN SHARMA</t>
  </si>
  <si>
    <t>MARKS IN ENGLISH</t>
  </si>
  <si>
    <t>MARKS IN MATHS</t>
  </si>
  <si>
    <t>MARKS IN SCIENCE</t>
  </si>
  <si>
    <t>MARKS IN CS</t>
  </si>
  <si>
    <t>TOTAL</t>
  </si>
  <si>
    <t>PERCENTAGE</t>
  </si>
  <si>
    <t>RESULT</t>
  </si>
  <si>
    <t>GRADE</t>
  </si>
  <si>
    <t>RANK</t>
  </si>
  <si>
    <t>KHUSHI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</si>
</sst>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2" borderId="1" xfId="1" applyFill="1" applyBorder="1" applyAlignment="1">
      <alignment horizontal="center"/>
    </xf>
    <xf numFmtId="0" fontId="0" fillId="0" borderId="0" xfId="0" applyFill="1" applyAlignment="1">
      <alignment horizontal="center"/>
    </xf>
  </cellXfs>
  <cellStyles count="2">
    <cellStyle name="Normal" xfId="0" builtinId="0"/>
    <cellStyle name="Warning Text" xfId="1" builtinId="11"/>
  </cellStyles>
  <dxfs count="10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abSelected="1" workbookViewId="0">
      <selection activeCell="H26" sqref="H26"/>
    </sheetView>
  </sheetViews>
  <sheetFormatPr defaultRowHeight="14.4" x14ac:dyDescent="0.3"/>
  <cols>
    <col min="1" max="1" width="8.88671875" style="1"/>
    <col min="2" max="2" width="18.5546875" style="1" customWidth="1"/>
    <col min="3" max="3" width="8.88671875" style="1"/>
    <col min="4" max="4" width="17.21875" style="1" customWidth="1"/>
    <col min="5" max="5" width="15.44140625" style="1" customWidth="1"/>
    <col min="6" max="6" width="17.33203125" style="1" customWidth="1"/>
    <col min="7" max="7" width="12.77734375" style="1" customWidth="1"/>
    <col min="8" max="8" width="10.109375" style="1" customWidth="1"/>
    <col min="9" max="9" width="13.109375" style="1" customWidth="1"/>
    <col min="10" max="10" width="8.88671875" style="3"/>
    <col min="11" max="12" width="8.88671875" style="1"/>
  </cols>
  <sheetData>
    <row r="1" spans="1:12" x14ac:dyDescent="0.3">
      <c r="A1" s="1" t="s">
        <v>0</v>
      </c>
      <c r="B1" s="1" t="s">
        <v>4</v>
      </c>
      <c r="C1" s="1" t="s">
        <v>3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3" t="s">
        <v>31</v>
      </c>
      <c r="K1" s="1" t="s">
        <v>32</v>
      </c>
      <c r="L1" s="1" t="s">
        <v>33</v>
      </c>
    </row>
    <row r="2" spans="1:12" x14ac:dyDescent="0.3">
      <c r="A2" s="1">
        <v>1</v>
      </c>
      <c r="B2" s="1" t="s">
        <v>8</v>
      </c>
      <c r="C2" s="1" t="s">
        <v>1</v>
      </c>
      <c r="D2" s="1">
        <v>88</v>
      </c>
      <c r="E2" s="1">
        <v>84</v>
      </c>
      <c r="F2" s="1">
        <v>45</v>
      </c>
      <c r="G2" s="1">
        <v>98</v>
      </c>
      <c r="H2" s="2">
        <f>SUM(D2:E2:F2:G2)</f>
        <v>315</v>
      </c>
      <c r="I2" s="2">
        <f>AVERAGE(D1:E2:F2:G2)</f>
        <v>78.75</v>
      </c>
      <c r="J2" s="3" t="str">
        <f>IF(AND(D2&gt;=50, E2&gt;=50,F2&gt;=50,G2&gt;=50),"PASS","FAIL")</f>
        <v>FAIL</v>
      </c>
      <c r="K2" s="1" t="str">
        <f>IF(J2="FAIL","",(IF(I2&gt;90,"A+",IF(I2&gt;80,"A",IF(I2&gt;70,"B+",IF(I2&gt;60,"B","C"))))))</f>
        <v/>
      </c>
      <c r="L2" s="1" t="str">
        <f>IF(J2="FAIL","",RANK(I2,$I$2:$I$21,0))</f>
        <v/>
      </c>
    </row>
    <row r="3" spans="1:12" x14ac:dyDescent="0.3">
      <c r="A3" s="1">
        <v>2</v>
      </c>
      <c r="B3" s="1" t="s">
        <v>7</v>
      </c>
      <c r="C3" s="1" t="s">
        <v>1</v>
      </c>
      <c r="D3" s="1">
        <v>46</v>
      </c>
      <c r="E3" s="1">
        <v>56</v>
      </c>
      <c r="F3" s="1">
        <v>65</v>
      </c>
      <c r="G3" s="1">
        <v>89</v>
      </c>
      <c r="H3" s="2">
        <f>SUM(D3:E3:F3:G3)</f>
        <v>256</v>
      </c>
      <c r="I3" s="2">
        <f>AVERAGE(D2:E3:F3:G3)</f>
        <v>71.375</v>
      </c>
      <c r="J3" s="3" t="str">
        <f t="shared" ref="J3:J22" si="0">IF(AND(D3&gt;=50, E3&gt;=50,F3&gt;=50,G3&gt;=50),"PASS","FAIL")</f>
        <v>FAIL</v>
      </c>
      <c r="K3" s="1" t="str">
        <f t="shared" ref="K3:K21" si="1">IF(J3="FAIL","",(IF(I3&gt;90,"A+",IF(I3&gt;80,"A",IF(I3&gt;70,"B+",IF(I3&gt;60,"B","C"))))))</f>
        <v/>
      </c>
      <c r="L3" s="1" t="str">
        <f t="shared" ref="L3:L21" si="2">IF(J3="FAIL","",RANK(I3,$I$2:$I$21,0))</f>
        <v/>
      </c>
    </row>
    <row r="4" spans="1:12" x14ac:dyDescent="0.3">
      <c r="A4" s="1">
        <v>3</v>
      </c>
      <c r="B4" s="1" t="s">
        <v>6</v>
      </c>
      <c r="C4" s="1" t="s">
        <v>1</v>
      </c>
      <c r="D4" s="1">
        <v>89</v>
      </c>
      <c r="E4" s="1">
        <v>87</v>
      </c>
      <c r="F4" s="1">
        <v>56</v>
      </c>
      <c r="G4" s="1">
        <v>78</v>
      </c>
      <c r="H4" s="2">
        <f>SUM(D4:E4:F4:G4)</f>
        <v>310</v>
      </c>
      <c r="I4" s="2">
        <f>AVERAGE(D3:E4:F4:G4)</f>
        <v>70.75</v>
      </c>
      <c r="J4" s="3" t="str">
        <f t="shared" si="0"/>
        <v>PASS</v>
      </c>
      <c r="K4" s="1" t="str">
        <f t="shared" si="1"/>
        <v>B+</v>
      </c>
      <c r="L4" s="1">
        <f t="shared" si="2"/>
        <v>17</v>
      </c>
    </row>
    <row r="5" spans="1:12" x14ac:dyDescent="0.3">
      <c r="A5" s="1">
        <v>4</v>
      </c>
      <c r="B5" s="1" t="s">
        <v>5</v>
      </c>
      <c r="C5" s="1" t="s">
        <v>1</v>
      </c>
      <c r="D5" s="1">
        <v>87</v>
      </c>
      <c r="E5" s="1">
        <v>78</v>
      </c>
      <c r="F5" s="1">
        <v>76</v>
      </c>
      <c r="G5" s="1">
        <v>86</v>
      </c>
      <c r="H5" s="2">
        <f>SUM(D5:E5:F5:G5)</f>
        <v>327</v>
      </c>
      <c r="I5" s="2">
        <f>AVERAGE(D4:E5:F5:G5)</f>
        <v>79.625</v>
      </c>
      <c r="J5" s="3" t="str">
        <f t="shared" si="0"/>
        <v>PASS</v>
      </c>
      <c r="K5" s="1" t="str">
        <f t="shared" si="1"/>
        <v>B+</v>
      </c>
      <c r="L5" s="1">
        <f t="shared" si="2"/>
        <v>5</v>
      </c>
    </row>
    <row r="6" spans="1:12" x14ac:dyDescent="0.3">
      <c r="A6" s="1">
        <v>5</v>
      </c>
      <c r="B6" s="1" t="s">
        <v>9</v>
      </c>
      <c r="C6" s="1" t="s">
        <v>2</v>
      </c>
      <c r="D6" s="1">
        <v>67</v>
      </c>
      <c r="E6" s="1">
        <v>67</v>
      </c>
      <c r="F6" s="1">
        <v>67</v>
      </c>
      <c r="G6" s="1">
        <v>68</v>
      </c>
      <c r="H6" s="2">
        <f>SUM(D6:E6:F6:G6)</f>
        <v>269</v>
      </c>
      <c r="I6" s="2">
        <f>AVERAGE(D5:E6:F6:G6)</f>
        <v>74.5</v>
      </c>
      <c r="J6" s="3" t="str">
        <f t="shared" si="0"/>
        <v>PASS</v>
      </c>
      <c r="K6" s="1" t="str">
        <f t="shared" si="1"/>
        <v>B+</v>
      </c>
      <c r="L6" s="1">
        <f t="shared" si="2"/>
        <v>9</v>
      </c>
    </row>
    <row r="7" spans="1:12" x14ac:dyDescent="0.3">
      <c r="A7" s="1">
        <v>6</v>
      </c>
      <c r="B7" s="1" t="s">
        <v>10</v>
      </c>
      <c r="C7" s="1" t="s">
        <v>2</v>
      </c>
      <c r="D7" s="1">
        <v>78</v>
      </c>
      <c r="E7" s="1">
        <v>66</v>
      </c>
      <c r="F7" s="1">
        <v>86</v>
      </c>
      <c r="G7" s="1">
        <v>65</v>
      </c>
      <c r="H7" s="2">
        <f>SUM(D7:E7:F7:G7)</f>
        <v>295</v>
      </c>
      <c r="I7" s="2">
        <f>AVERAGE(D6:E7:F7:G7)</f>
        <v>70.5</v>
      </c>
      <c r="J7" s="3" t="str">
        <f t="shared" si="0"/>
        <v>PASS</v>
      </c>
      <c r="K7" s="1" t="str">
        <f t="shared" si="1"/>
        <v>B+</v>
      </c>
      <c r="L7" s="1">
        <f t="shared" si="2"/>
        <v>19</v>
      </c>
    </row>
    <row r="8" spans="1:12" x14ac:dyDescent="0.3">
      <c r="A8" s="1">
        <v>7</v>
      </c>
      <c r="B8" s="1" t="s">
        <v>11</v>
      </c>
      <c r="C8" s="1" t="s">
        <v>2</v>
      </c>
      <c r="D8" s="1">
        <v>78</v>
      </c>
      <c r="E8" s="1">
        <v>76</v>
      </c>
      <c r="F8" s="1">
        <v>86</v>
      </c>
      <c r="G8" s="1">
        <v>65</v>
      </c>
      <c r="H8" s="2">
        <f>SUM(D8:E8:F8:G8)</f>
        <v>305</v>
      </c>
      <c r="I8" s="2">
        <f>AVERAGE(D7:E8:F8:G8)</f>
        <v>75</v>
      </c>
      <c r="J8" s="3" t="str">
        <f t="shared" si="0"/>
        <v>PASS</v>
      </c>
      <c r="K8" s="1" t="str">
        <f t="shared" si="1"/>
        <v>B+</v>
      </c>
      <c r="L8" s="1">
        <f t="shared" si="2"/>
        <v>8</v>
      </c>
    </row>
    <row r="9" spans="1:12" x14ac:dyDescent="0.3">
      <c r="A9" s="1">
        <v>8</v>
      </c>
      <c r="B9" s="1" t="s">
        <v>12</v>
      </c>
      <c r="C9" s="1" t="s">
        <v>2</v>
      </c>
      <c r="D9" s="1">
        <v>95</v>
      </c>
      <c r="E9" s="1">
        <v>56</v>
      </c>
      <c r="F9" s="1">
        <v>57</v>
      </c>
      <c r="G9" s="1">
        <v>59</v>
      </c>
      <c r="H9" s="2">
        <f>SUM(D9:E9:F9:G9)</f>
        <v>267</v>
      </c>
      <c r="I9" s="2">
        <f>AVERAGE(D8:E9:F9:G9)</f>
        <v>71.5</v>
      </c>
      <c r="J9" s="3" t="str">
        <f t="shared" si="0"/>
        <v>PASS</v>
      </c>
      <c r="K9" s="1" t="str">
        <f t="shared" si="1"/>
        <v>B+</v>
      </c>
      <c r="L9" s="1">
        <f t="shared" si="2"/>
        <v>15</v>
      </c>
    </row>
    <row r="10" spans="1:12" x14ac:dyDescent="0.3">
      <c r="A10" s="1">
        <v>9</v>
      </c>
      <c r="B10" s="1" t="s">
        <v>13</v>
      </c>
      <c r="C10" s="1" t="s">
        <v>1</v>
      </c>
      <c r="D10" s="1">
        <v>89</v>
      </c>
      <c r="E10" s="1">
        <v>97</v>
      </c>
      <c r="F10" s="1">
        <v>98</v>
      </c>
      <c r="G10" s="1">
        <v>97</v>
      </c>
      <c r="H10" s="2">
        <f>SUM(D10:E10:F10:G10)</f>
        <v>381</v>
      </c>
      <c r="I10" s="2">
        <f>AVERAGE(D9:E10:F10:G10)</f>
        <v>81</v>
      </c>
      <c r="J10" s="3" t="str">
        <f t="shared" si="0"/>
        <v>PASS</v>
      </c>
      <c r="K10" s="1" t="str">
        <f t="shared" si="1"/>
        <v>A</v>
      </c>
      <c r="L10" s="1">
        <f t="shared" si="2"/>
        <v>3</v>
      </c>
    </row>
    <row r="11" spans="1:12" x14ac:dyDescent="0.3">
      <c r="A11" s="1">
        <v>10</v>
      </c>
      <c r="B11" s="1" t="s">
        <v>14</v>
      </c>
      <c r="C11" s="1" t="s">
        <v>1</v>
      </c>
      <c r="D11" s="1">
        <v>87</v>
      </c>
      <c r="E11" s="1">
        <v>96</v>
      </c>
      <c r="F11" s="1">
        <v>77</v>
      </c>
      <c r="G11" s="1">
        <v>87</v>
      </c>
      <c r="H11" s="2">
        <f>SUM(D11:E11:F11:G11)</f>
        <v>347</v>
      </c>
      <c r="I11" s="2">
        <f>AVERAGE(D10:E11:F11:G11)</f>
        <v>91</v>
      </c>
      <c r="J11" s="3" t="str">
        <f t="shared" si="0"/>
        <v>PASS</v>
      </c>
      <c r="K11" s="1" t="str">
        <f t="shared" si="1"/>
        <v>A+</v>
      </c>
      <c r="L11" s="1">
        <f t="shared" si="2"/>
        <v>1</v>
      </c>
    </row>
    <row r="12" spans="1:12" x14ac:dyDescent="0.3">
      <c r="A12" s="1">
        <v>11</v>
      </c>
      <c r="B12" s="1" t="s">
        <v>15</v>
      </c>
      <c r="C12" s="1" t="s">
        <v>1</v>
      </c>
      <c r="D12" s="1">
        <v>67</v>
      </c>
      <c r="E12" s="1">
        <v>95</v>
      </c>
      <c r="F12" s="1">
        <v>86</v>
      </c>
      <c r="G12" s="1">
        <v>67</v>
      </c>
      <c r="H12" s="2">
        <f>SUM(D12:E12:F12:G12)</f>
        <v>315</v>
      </c>
      <c r="I12" s="2">
        <f>AVERAGE(D11:E12:F12:G12)</f>
        <v>82.75</v>
      </c>
      <c r="J12" s="3" t="str">
        <f t="shared" si="0"/>
        <v>PASS</v>
      </c>
      <c r="K12" s="1" t="str">
        <f t="shared" si="1"/>
        <v>A</v>
      </c>
      <c r="L12" s="1">
        <f t="shared" si="2"/>
        <v>2</v>
      </c>
    </row>
    <row r="13" spans="1:12" x14ac:dyDescent="0.3">
      <c r="A13" s="1">
        <v>12</v>
      </c>
      <c r="B13" s="1" t="s">
        <v>16</v>
      </c>
      <c r="C13" s="1" t="s">
        <v>1</v>
      </c>
      <c r="D13" s="1">
        <v>76</v>
      </c>
      <c r="E13" s="1">
        <v>45</v>
      </c>
      <c r="F13" s="1">
        <v>67</v>
      </c>
      <c r="G13" s="1">
        <v>76</v>
      </c>
      <c r="H13" s="2">
        <f>SUM(D13:E13:F13:G13)</f>
        <v>264</v>
      </c>
      <c r="I13" s="2">
        <f>AVERAGE(D12:E13:F13:G13)</f>
        <v>72.375</v>
      </c>
      <c r="J13" s="3" t="str">
        <f t="shared" si="0"/>
        <v>FAIL</v>
      </c>
      <c r="K13" s="1" t="str">
        <f t="shared" si="1"/>
        <v/>
      </c>
      <c r="L13" s="1" t="str">
        <f t="shared" si="2"/>
        <v/>
      </c>
    </row>
    <row r="14" spans="1:12" x14ac:dyDescent="0.3">
      <c r="A14" s="1">
        <v>13</v>
      </c>
      <c r="B14" s="1" t="s">
        <v>17</v>
      </c>
      <c r="C14" s="1" t="s">
        <v>2</v>
      </c>
      <c r="D14" s="1">
        <v>67</v>
      </c>
      <c r="E14" s="1">
        <v>65</v>
      </c>
      <c r="F14" s="1">
        <v>65</v>
      </c>
      <c r="G14" s="1">
        <v>78</v>
      </c>
      <c r="H14" s="2">
        <f>SUM(D14:E14:F14:G14)</f>
        <v>275</v>
      </c>
      <c r="I14" s="2">
        <f>AVERAGE(D13:E14:F14:G14)</f>
        <v>67.375</v>
      </c>
      <c r="J14" s="3" t="str">
        <f t="shared" si="0"/>
        <v>PASS</v>
      </c>
      <c r="K14" s="1" t="str">
        <f t="shared" si="1"/>
        <v>B</v>
      </c>
      <c r="L14" s="1">
        <f t="shared" si="2"/>
        <v>20</v>
      </c>
    </row>
    <row r="15" spans="1:12" x14ac:dyDescent="0.3">
      <c r="A15" s="1">
        <v>14</v>
      </c>
      <c r="B15" s="1" t="s">
        <v>18</v>
      </c>
      <c r="C15" s="1" t="s">
        <v>2</v>
      </c>
      <c r="D15" s="1">
        <v>65</v>
      </c>
      <c r="E15" s="1">
        <v>65</v>
      </c>
      <c r="F15" s="1">
        <v>98</v>
      </c>
      <c r="G15" s="1">
        <v>90</v>
      </c>
      <c r="H15" s="2">
        <f>SUM(D15:E15:F15:G15)</f>
        <v>318</v>
      </c>
      <c r="I15" s="2">
        <f>AVERAGE(D14:E15:F15:G15)</f>
        <v>74.125</v>
      </c>
      <c r="J15" s="3" t="str">
        <f t="shared" si="0"/>
        <v>PASS</v>
      </c>
      <c r="K15" s="1" t="str">
        <f t="shared" si="1"/>
        <v>B+</v>
      </c>
      <c r="L15" s="1">
        <f t="shared" si="2"/>
        <v>10</v>
      </c>
    </row>
    <row r="16" spans="1:12" x14ac:dyDescent="0.3">
      <c r="A16" s="1">
        <v>15</v>
      </c>
      <c r="B16" s="1" t="s">
        <v>19</v>
      </c>
      <c r="C16" s="1" t="s">
        <v>2</v>
      </c>
      <c r="D16" s="1">
        <v>60</v>
      </c>
      <c r="E16" s="1">
        <v>64</v>
      </c>
      <c r="F16" s="1">
        <v>67</v>
      </c>
      <c r="G16" s="1">
        <v>65</v>
      </c>
      <c r="H16" s="2">
        <f>SUM(D16:E16:F16:G16)</f>
        <v>256</v>
      </c>
      <c r="I16" s="2">
        <f>AVERAGE(D15:E16:F16:G16)</f>
        <v>71.75</v>
      </c>
      <c r="J16" s="3" t="str">
        <f t="shared" si="0"/>
        <v>PASS</v>
      </c>
      <c r="K16" s="1" t="str">
        <f t="shared" si="1"/>
        <v>B+</v>
      </c>
      <c r="L16" s="1">
        <f t="shared" si="2"/>
        <v>13</v>
      </c>
    </row>
    <row r="17" spans="1:12" x14ac:dyDescent="0.3">
      <c r="A17" s="1">
        <v>16</v>
      </c>
      <c r="B17" s="1" t="s">
        <v>20</v>
      </c>
      <c r="C17" s="1" t="s">
        <v>2</v>
      </c>
      <c r="D17" s="1">
        <v>86</v>
      </c>
      <c r="E17" s="1">
        <v>45</v>
      </c>
      <c r="F17" s="1">
        <v>89</v>
      </c>
      <c r="G17" s="1">
        <v>89</v>
      </c>
      <c r="H17" s="2">
        <f>SUM(D17:E17:F17:G17)</f>
        <v>309</v>
      </c>
      <c r="I17" s="2">
        <f>AVERAGE(D16:E17:F17:G17)</f>
        <v>70.625</v>
      </c>
      <c r="J17" s="3" t="str">
        <f t="shared" si="0"/>
        <v>FAIL</v>
      </c>
      <c r="K17" s="1" t="str">
        <f t="shared" si="1"/>
        <v/>
      </c>
      <c r="L17" s="1" t="str">
        <f t="shared" si="2"/>
        <v/>
      </c>
    </row>
    <row r="18" spans="1:12" x14ac:dyDescent="0.3">
      <c r="A18" s="1">
        <v>17</v>
      </c>
      <c r="B18" s="1" t="s">
        <v>21</v>
      </c>
      <c r="C18" s="1" t="s">
        <v>2</v>
      </c>
      <c r="D18" s="1">
        <v>65</v>
      </c>
      <c r="E18" s="1">
        <v>88</v>
      </c>
      <c r="F18" s="1">
        <v>99</v>
      </c>
      <c r="G18" s="1">
        <v>76</v>
      </c>
      <c r="H18" s="2">
        <f>SUM(D18:E18:F18:G18)</f>
        <v>328</v>
      </c>
      <c r="I18" s="2">
        <f>AVERAGE(D17:E18:F18:G18)</f>
        <v>79.625</v>
      </c>
      <c r="J18" s="3" t="str">
        <f t="shared" si="0"/>
        <v>PASS</v>
      </c>
      <c r="K18" s="1" t="str">
        <f t="shared" si="1"/>
        <v>B+</v>
      </c>
      <c r="L18" s="1">
        <f t="shared" si="2"/>
        <v>5</v>
      </c>
    </row>
    <row r="19" spans="1:12" x14ac:dyDescent="0.3">
      <c r="A19" s="1">
        <v>18</v>
      </c>
      <c r="B19" s="1" t="s">
        <v>22</v>
      </c>
      <c r="C19" s="1" t="s">
        <v>1</v>
      </c>
      <c r="D19" s="1">
        <v>76</v>
      </c>
      <c r="E19" s="1">
        <v>89</v>
      </c>
      <c r="F19" s="1">
        <v>88</v>
      </c>
      <c r="G19" s="1">
        <v>65</v>
      </c>
      <c r="H19" s="2">
        <f>SUM(D19:E19:F19:G19)</f>
        <v>318</v>
      </c>
      <c r="I19" s="2">
        <f>AVERAGE(D18:E19:F19:G19)</f>
        <v>80.75</v>
      </c>
      <c r="J19" s="3" t="str">
        <f t="shared" si="0"/>
        <v>PASS</v>
      </c>
      <c r="K19" s="1" t="str">
        <f t="shared" si="1"/>
        <v>A</v>
      </c>
      <c r="L19" s="1">
        <f t="shared" si="2"/>
        <v>4</v>
      </c>
    </row>
    <row r="20" spans="1:12" x14ac:dyDescent="0.3">
      <c r="A20" s="1">
        <v>19</v>
      </c>
      <c r="B20" s="1" t="s">
        <v>23</v>
      </c>
      <c r="C20" s="1" t="s">
        <v>2</v>
      </c>
      <c r="D20" s="1">
        <v>56</v>
      </c>
      <c r="E20" s="1">
        <v>67</v>
      </c>
      <c r="F20" s="1">
        <v>77</v>
      </c>
      <c r="G20" s="1">
        <v>65</v>
      </c>
      <c r="H20" s="2">
        <f>SUM(D20:E20:F20:G20)</f>
        <v>265</v>
      </c>
      <c r="I20" s="2">
        <f>AVERAGE(D19:E20:F20:G20)</f>
        <v>72.875</v>
      </c>
      <c r="J20" s="3" t="str">
        <f t="shared" si="0"/>
        <v>PASS</v>
      </c>
      <c r="K20" s="1" t="str">
        <f t="shared" si="1"/>
        <v>B+</v>
      </c>
      <c r="L20" s="1">
        <f t="shared" si="2"/>
        <v>11</v>
      </c>
    </row>
    <row r="21" spans="1:12" x14ac:dyDescent="0.3">
      <c r="A21" s="1">
        <v>20</v>
      </c>
      <c r="B21" s="1" t="s">
        <v>24</v>
      </c>
      <c r="C21" s="1" t="s">
        <v>1</v>
      </c>
      <c r="D21" s="1">
        <v>98</v>
      </c>
      <c r="E21" s="1">
        <v>56</v>
      </c>
      <c r="F21" s="1">
        <v>98</v>
      </c>
      <c r="G21" s="1">
        <v>56</v>
      </c>
      <c r="H21" s="2">
        <f>SUM(D21:E21:F21:G21)</f>
        <v>308</v>
      </c>
      <c r="I21" s="2">
        <f>AVERAGE(D20:E21:F21:G21)</f>
        <v>71.625</v>
      </c>
      <c r="J21" s="3" t="str">
        <f t="shared" si="0"/>
        <v>PASS</v>
      </c>
      <c r="K21" s="1" t="str">
        <f t="shared" si="1"/>
        <v>B+</v>
      </c>
      <c r="L21" s="1">
        <f t="shared" si="2"/>
        <v>14</v>
      </c>
    </row>
    <row r="22" spans="1:12" x14ac:dyDescent="0.3">
      <c r="A22" s="1">
        <v>22</v>
      </c>
      <c r="B22" s="1" t="s">
        <v>34</v>
      </c>
      <c r="C22" s="1" t="s">
        <v>2</v>
      </c>
      <c r="D22" s="1">
        <v>34</v>
      </c>
      <c r="E22" s="1">
        <v>67</v>
      </c>
      <c r="F22" s="1">
        <v>77</v>
      </c>
      <c r="G22" s="1">
        <v>34</v>
      </c>
      <c r="H22" s="2">
        <f>SUM(D22:E22:F22:G22)</f>
        <v>212</v>
      </c>
      <c r="I22" s="2">
        <f>AVERAGE(D21:E22:F22:G22)</f>
        <v>65</v>
      </c>
      <c r="J22" s="3" t="str">
        <f t="shared" si="0"/>
        <v>FAIL</v>
      </c>
    </row>
  </sheetData>
  <conditionalFormatting sqref="J1:J1048576">
    <cfRule type="containsText" dxfId="6" priority="4" operator="containsText" text="FAIL">
      <formula>NOT(ISERROR(SEARCH("FAIL",J1)))</formula>
    </cfRule>
    <cfRule type="containsText" dxfId="5" priority="3" operator="containsText" text="PASS">
      <formula>NOT(ISERROR(SEARCH("PASS",J1)))</formula>
    </cfRule>
  </conditionalFormatting>
  <conditionalFormatting sqref="K1:K1048576">
    <cfRule type="containsText" dxfId="0" priority="2" operator="containsText" text="A">
      <formula>NOT(ISERROR(SEARCH("A",K1)))</formula>
    </cfRule>
    <cfRule type="containsText" dxfId="1" priority="1" operator="containsText" text="B">
      <formula>NOT(ISERROR(SEARCH("B",K1)))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gauravsinghh7624@gmail.com</dc:creator>
  <cp:lastModifiedBy>gauravsinghh7624@gmail.com</cp:lastModifiedBy>
  <dcterms:created xsi:type="dcterms:W3CDTF">2026-09-17T08:03:29Z</dcterms:created>
  <dcterms:modified xsi:type="dcterms:W3CDTF">2026-09-20T07:10:37Z</dcterms:modified>
</cp:coreProperties>
</file>